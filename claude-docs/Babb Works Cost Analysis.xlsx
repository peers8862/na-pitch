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tartup Capital" sheetId="2" state="visible" r:id="rId4"/>
    <sheet name="Monthly Operating" sheetId="3" state="visible" r:id="rId5"/>
    <sheet name="Payroll" sheetId="4" state="visible" r:id="rId6"/>
    <sheet name="Year 1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<sst xmlns="http://schemas.openxmlformats.org/spreadsheetml/2006/main" count="264" uniqueCount="259">
  <si>
    <t xml:space="preserve">BABB WORKS INC. — COST ANALYSIS</t>
  </si>
  <si>
    <t xml:space="preserve">Source: 2026 CRA / OEB / WSIB rates</t>
  </si>
  <si>
    <t xml:space="preserve">All figures in Canadian Dollars (CAD). Blue = editable input. Black = formula.</t>
  </si>
  <si>
    <t xml:space="preserve">FACILITY ASSUMPTIONS</t>
  </si>
  <si>
    <t xml:space="preserve">Leasable Area (sq ft)</t>
  </si>
  <si>
    <t xml:space="preserve">Confirmed lease</t>
  </si>
  <si>
    <t xml:space="preserve">Annual Lease Rate ($/sq ft, all-in TMI)</t>
  </si>
  <si>
    <t xml:space="preserve">All-in gross including TMI</t>
  </si>
  <si>
    <t xml:space="preserve">Annual Rent</t>
  </si>
  <si>
    <t xml:space="preserve">area × rate</t>
  </si>
  <si>
    <t xml:space="preserve">Monthly Rent</t>
  </si>
  <si>
    <t xml:space="preserve">ELECTRICITY (Ontario RPP — Small Business &lt; 50 kW)</t>
  </si>
  <si>
    <t xml:space="preserve">Blended Electricity Rate (¢/kWh)</t>
  </si>
  <si>
    <t xml:space="preserve">$/kWh</t>
  </si>
  <si>
    <t xml:space="preserve">OEB TOU blended avg ~13¢ incl. delivery + reg</t>
  </si>
  <si>
    <t xml:space="preserve">Ontario Electricity Rebate (OER)</t>
  </si>
  <si>
    <t xml:space="preserve">23.5% rebate eff. Nov 1, 2025</t>
  </si>
  <si>
    <t xml:space="preserve">Effective Rate After OER ($/kWh)</t>
  </si>
  <si>
    <t xml:space="preserve">Estimated Monthly Usage (kWh)</t>
  </si>
  <si>
    <t xml:space="preserve">Assembly floor + testing + HVAC + lighting</t>
  </si>
  <si>
    <t xml:space="preserve">Monthly Electricity Cost</t>
  </si>
  <si>
    <t xml:space="preserve">Annual Electricity Cost</t>
  </si>
  <si>
    <t xml:space="preserve">EMPLOYER STATUTORY RATES — 2026</t>
  </si>
  <si>
    <t xml:space="preserve">CPP Employer Rate</t>
  </si>
  <si>
    <t xml:space="preserve">5.95% on pensionable earnings to YMPE $74,600</t>
  </si>
  <si>
    <t xml:space="preserve">CPP Basic Exemption</t>
  </si>
  <si>
    <t xml:space="preserve">Source: CRA 2026</t>
  </si>
  <si>
    <t xml:space="preserve">CPP YMPE (Year Max Pensionable Earnings)</t>
  </si>
  <si>
    <t xml:space="preserve">CPP2 Rate (on earnings $74,600–$85,000)</t>
  </si>
  <si>
    <t xml:space="preserve">Second ceiling YAMPE = $85,000</t>
  </si>
  <si>
    <t xml:space="preserve">EI Employer Premium Rate</t>
  </si>
  <si>
    <t xml:space="preserve">1.4× employee rate of 1.63% = 2.282%</t>
  </si>
  <si>
    <t xml:space="preserve">EI Max Insurable Earnings</t>
  </si>
  <si>
    <t xml:space="preserve">Source: CEIC 2026</t>
  </si>
  <si>
    <t xml:space="preserve">EI Max Employer Premium / Employee</t>
  </si>
  <si>
    <t xml:space="preserve">WSIB Premium (electronics mfg class)</t>
  </si>
  <si>
    <t xml:space="preserve">$1.23/$100 avg 2026 — actual varies by NAICS</t>
  </si>
  <si>
    <t xml:space="preserve">Vacation Pay (minimum 2 weeks)</t>
  </si>
  <si>
    <t xml:space="preserve">ESA minimum 4% (6% after 5 yrs)</t>
  </si>
  <si>
    <t xml:space="preserve">EHT (Employer Health Tax)</t>
  </si>
  <si>
    <t xml:space="preserve">Exempt on first $1M payroll (through 2028)</t>
  </si>
  <si>
    <t xml:space="preserve">Public Holidays (9 days Ontario)</t>
  </si>
  <si>
    <t xml:space="preserve">ESA: 9 statutory holidays per year</t>
  </si>
  <si>
    <t xml:space="preserve">OTHER OPERATING ASSUMPTIONS</t>
  </si>
  <si>
    <t xml:space="preserve">Commercial Insurance (annual)</t>
  </si>
  <si>
    <t xml:space="preserve">CGL + property + E&amp;O — small mfg estimate</t>
  </si>
  <si>
    <t xml:space="preserve">Internet / Telecom (monthly)</t>
  </si>
  <si>
    <t xml:space="preserve">Business fibre + VoIP</t>
  </si>
  <si>
    <t xml:space="preserve">Accounting / Legal (annual)</t>
  </si>
  <si>
    <t xml:space="preserve">Bookkeeper + annual corp filing + legal retainer</t>
  </si>
  <si>
    <t xml:space="preserve">Office Supplies &amp; Misc (monthly)</t>
  </si>
  <si>
    <t xml:space="preserve">Software Licenses (monthly)</t>
  </si>
  <si>
    <t xml:space="preserve">EDA, ERP lite, Office, cloud, backups</t>
  </si>
  <si>
    <t xml:space="preserve">Shipping / Courier (monthly)</t>
  </si>
  <si>
    <t xml:space="preserve">Purolator, UPS, component receiving</t>
  </si>
  <si>
    <t xml:space="preserve">HST Rate</t>
  </si>
  <si>
    <t xml:space="preserve">Ontario HST — reclaimable via ITC</t>
  </si>
  <si>
    <t xml:space="preserve">PHASE 1 STARTUP CAPITAL — ONE-TIME COSTS</t>
  </si>
  <si>
    <t xml:space="preserve">All costs before HST (reclaimable via ITC for registered businesses)</t>
  </si>
  <si>
    <t xml:space="preserve">Item</t>
  </si>
  <si>
    <t xml:space="preserve">Qty</t>
  </si>
  <si>
    <t xml:space="preserve">Unit Cost</t>
  </si>
  <si>
    <t xml:space="preserve">Total</t>
  </si>
  <si>
    <t xml:space="preserve">Notes / Source</t>
  </si>
  <si>
    <t xml:space="preserve">FACILITY BUILDOUT</t>
  </si>
  <si>
    <t xml:space="preserve">ESD epoxy flooring (4,000 sq ft)</t>
  </si>
  <si>
    <t xml:space="preserve">Conductive epoxy — $3.50–$6/sq ft installed</t>
  </si>
  <si>
    <t xml:space="preserve">Electrical panel upgrade (200A service)</t>
  </si>
  <si>
    <t xml:space="preserve">Licensed electrician, permits, inspection</t>
  </si>
  <si>
    <t xml:space="preserve">Dedicated circuits for equipment (20A×12)</t>
  </si>
  <si>
    <t xml:space="preserve">Assembly floor + testing lab + server</t>
  </si>
  <si>
    <t xml:space="preserve">HVAC supplemental (humidity control)</t>
  </si>
  <si>
    <t xml:space="preserve">Critical for solder paste / component storage</t>
  </si>
  <si>
    <t xml:space="preserve">LED lighting upgrade (high-CRI assembly)</t>
  </si>
  <si>
    <t xml:space="preserve">5000K high-CRI panels, task lighting</t>
  </si>
  <si>
    <t xml:space="preserve">Fire suppression (clean agent, server room)</t>
  </si>
  <si>
    <t xml:space="preserve">FM-200 or Novec for electronics areas</t>
  </si>
  <si>
    <t xml:space="preserve">Network cabling (Cat6A, 24 drops)</t>
  </si>
  <si>
    <t xml:space="preserve">Structured cabling + patch panel + rack</t>
  </si>
  <si>
    <t xml:space="preserve">Security system (cameras + access control)</t>
  </si>
  <si>
    <t xml:space="preserve">IP cameras, card reader, monitoring</t>
  </si>
  <si>
    <t xml:space="preserve">Signage (exterior + interior wayfinding)</t>
  </si>
  <si>
    <t xml:space="preserve">Building signage + ESD zone markings</t>
  </si>
  <si>
    <t xml:space="preserve">Subtotal — Facility Buildout</t>
  </si>
  <si>
    <t xml:space="preserve">ASSEMBLY EQUIPMENT</t>
  </si>
  <si>
    <t xml:space="preserve">ESD workstations (Treston-class, full kit)</t>
  </si>
  <si>
    <t xml:space="preserve">Bench + mat + wrist strap + grounding + task light</t>
  </si>
  <si>
    <t xml:space="preserve">ESD chairs (adjustable, conductive casters)</t>
  </si>
  <si>
    <t xml:space="preserve">IEC 61340 compliant</t>
  </si>
  <si>
    <t xml:space="preserve">Soldering stations (Hakko FX-951 or equiv.)</t>
  </si>
  <si>
    <t xml:space="preserve">Digital, ESD-safe, tip variety</t>
  </si>
  <si>
    <t xml:space="preserve">Hot air rework station (Hakko FR-810)</t>
  </si>
  <si>
    <t xml:space="preserve">SMD rework, BGA capability</t>
  </si>
  <si>
    <t xml:space="preserve">Stereo microscope (Amscope, LED ring)</t>
  </si>
  <si>
    <t xml:space="preserve">7×–45× zoom, boom stand</t>
  </si>
  <si>
    <t xml:space="preserve">Solder paste printer (manual stencil)</t>
  </si>
  <si>
    <t xml:space="preserve">Manual/semi-auto stencil printer</t>
  </si>
  <si>
    <t xml:space="preserve">Desktop pick &amp; place (Neoden YY1/TronStol)</t>
  </si>
  <si>
    <t xml:space="preserve">46 feeders, vision system — prototype/small batch</t>
  </si>
  <si>
    <t xml:space="preserve">Reflow oven (Neoden T5 or equiv. 5-zone)</t>
  </si>
  <si>
    <t xml:space="preserve">Lead-free capable, N2 optional</t>
  </si>
  <si>
    <t xml:space="preserve">PCB depaneling (V-cut scorer)</t>
  </si>
  <si>
    <t xml:space="preserve">Manual V-groove separator</t>
  </si>
  <si>
    <t xml:space="preserve">Ultrasonic cleaner (6L, heated)</t>
  </si>
  <si>
    <t xml:space="preserve">Post-solder PCB cleaning</t>
  </si>
  <si>
    <t xml:space="preserve">Fume extraction (4-port, HEPA/carbon)</t>
  </si>
  <si>
    <t xml:space="preserve">Solder fume + flux vapour</t>
  </si>
  <si>
    <t xml:space="preserve">ESD tool kits (tweezers, probes, cutters)</t>
  </si>
  <si>
    <t xml:space="preserve">Wiha / Wera anti-static sets</t>
  </si>
  <si>
    <t xml:space="preserve">Component storage (SMD reels, dry cabinet)</t>
  </si>
  <si>
    <t xml:space="preserve">Dry cabinet + reel racks + labelling</t>
  </si>
  <si>
    <t xml:space="preserve">Wire harness / cable assembly tools</t>
  </si>
  <si>
    <t xml:space="preserve">Crimpers, strippers, testers</t>
  </si>
  <si>
    <t xml:space="preserve">Subtotal — Assembly Equipment</t>
  </si>
  <si>
    <t xml:space="preserve">TEST &amp; MEASUREMENT</t>
  </si>
  <si>
    <t xml:space="preserve">Digital oscilloscope (Rigol DS1104Z+)</t>
  </si>
  <si>
    <t xml:space="preserve">100 MHz, 4-channel — firmware debug</t>
  </si>
  <si>
    <t xml:space="preserve">Bench multimeter (Keysight 34461A class)</t>
  </si>
  <si>
    <t xml:space="preserve">6.5-digit for production QC</t>
  </si>
  <si>
    <t xml:space="preserve">Programmable power supply (dual ch, 30V/5A)</t>
  </si>
  <si>
    <t xml:space="preserve">Rigol DP832 class</t>
  </si>
  <si>
    <t xml:space="preserve">Logic analyzer (Saleae Logic Pro 16)</t>
  </si>
  <si>
    <t xml:space="preserve">16-channel, protocol decode</t>
  </si>
  <si>
    <t xml:space="preserve">Function generator (Rigol DG1062Z)</t>
  </si>
  <si>
    <t xml:space="preserve">60 MHz, 2-channel</t>
  </si>
  <si>
    <t xml:space="preserve">LCR meter (component verification)</t>
  </si>
  <si>
    <t xml:space="preserve">Incoming inspection</t>
  </si>
  <si>
    <t xml:space="preserve">ICT / flying probe fixture (custom)</t>
  </si>
  <si>
    <t xml:space="preserve">Board-level in-circuit test</t>
  </si>
  <si>
    <t xml:space="preserve">Thermal camera (FLIR C5 or equiv.)</t>
  </si>
  <si>
    <t xml:space="preserve">Thermal profiling, fault detection</t>
  </si>
  <si>
    <t xml:space="preserve">J-Link / ST-Link programmers (bulk)</t>
  </si>
  <si>
    <t xml:space="preserve">MCU programming &amp; debug probes</t>
  </si>
  <si>
    <t xml:space="preserve">Subtotal — Test &amp; Measurement</t>
  </si>
  <si>
    <t xml:space="preserve">FIRMWARE / DEVELOPMENT LAB</t>
  </si>
  <si>
    <t xml:space="preserve">Development workstations (i7/32GB/NVMe)</t>
  </si>
  <si>
    <t xml:space="preserve">Linux + toolchains, dual monitor</t>
  </si>
  <si>
    <t xml:space="preserve">Monitors (27" 4K, per workstation)</t>
  </si>
  <si>
    <t xml:space="preserve">2 per dev station</t>
  </si>
  <si>
    <t xml:space="preserve">Dev boards assortment (STM32, ESP32, RISC-V)</t>
  </si>
  <si>
    <t xml:space="preserve">Reference platforms + eval kits</t>
  </si>
  <si>
    <t xml:space="preserve">JTAG/SWD debug hardware (pro grade)</t>
  </si>
  <si>
    <t xml:space="preserve">Segger J-Link Plus or equiv.</t>
  </si>
  <si>
    <t xml:space="preserve">Server / NAS (build server + backups)</t>
  </si>
  <si>
    <t xml:space="preserve">Xeon, 64GB, RAID — CI/CD pipeline</t>
  </si>
  <si>
    <t xml:space="preserve">UPS (1500VA for server + dev stations)</t>
  </si>
  <si>
    <t xml:space="preserve">APC SmartUPS — brown-out protection</t>
  </si>
  <si>
    <t xml:space="preserve">Software licenses (IAR / Keil / etc.)</t>
  </si>
  <si>
    <t xml:space="preserve">Annual — IDE + compiler + RTOS</t>
  </si>
  <si>
    <t xml:space="preserve">Subtotal — Firmware Lab</t>
  </si>
  <si>
    <t xml:space="preserve">OFFICE &amp; TRAINING ROOM</t>
  </si>
  <si>
    <t xml:space="preserve">Training workstations (laptop + monitor)</t>
  </si>
  <si>
    <t xml:space="preserve">Phase 1: 6 seats expanding to 12</t>
  </si>
  <si>
    <t xml:space="preserve">Classroom AV (projector, whiteboard, camera)</t>
  </si>
  <si>
    <t xml:space="preserve">Streaming capability for remote cohorts</t>
  </si>
  <si>
    <t xml:space="preserve">Office furniture (desks, chairs, filing)</t>
  </si>
  <si>
    <t xml:space="preserve">Reception + 2 office + meeting table</t>
  </si>
  <si>
    <t xml:space="preserve">Printer / scanner (colour laser MFP)</t>
  </si>
  <si>
    <t xml:space="preserve">Brother/HP business class</t>
  </si>
  <si>
    <t xml:space="preserve">Phone system (VoIP, 4 handsets)</t>
  </si>
  <si>
    <t xml:space="preserve">Cloud PBX + physical handsets</t>
  </si>
  <si>
    <t xml:space="preserve">Subtotal — Office &amp; Training</t>
  </si>
  <si>
    <t xml:space="preserve">WORKING CAPITAL &amp; SOFT COSTS</t>
  </si>
  <si>
    <t xml:space="preserve">Initial component inventory</t>
  </si>
  <si>
    <t xml:space="preserve">SMD reels, connectors, MCUs — first production runs</t>
  </si>
  <si>
    <t xml:space="preserve">PCB fabrication (first 5 board designs)</t>
  </si>
  <si>
    <t xml:space="preserve">4-layer, ENIG, qty 100 per design</t>
  </si>
  <si>
    <t xml:space="preserve">Incorporation / legal setup</t>
  </si>
  <si>
    <t xml:space="preserve">Federal corp + shareholder agreement + IP</t>
  </si>
  <si>
    <t xml:space="preserve">IPC certification (trainer + materials)</t>
  </si>
  <si>
    <t xml:space="preserve">IPC-A-610 + J-STD-001 certification</t>
  </si>
  <si>
    <t xml:space="preserve">Marketing / website launch</t>
  </si>
  <si>
    <t xml:space="preserve">Brand identity + website + collateral</t>
  </si>
  <si>
    <t xml:space="preserve">3-month operating reserve</t>
  </si>
  <si>
    <t xml:space="preserve">Cash cushion — rent + payroll + utilities</t>
  </si>
  <si>
    <t xml:space="preserve">Contingency (10% of equipment)</t>
  </si>
  <si>
    <t xml:space="preserve">Formula — see below</t>
  </si>
  <si>
    <t xml:space="preserve">Subtotal — Working Capital &amp; Soft Costs</t>
  </si>
  <si>
    <t xml:space="preserve">TOTAL PHASE 1 STARTUP CAPITAL</t>
  </si>
  <si>
    <t xml:space="preserve">MONTHLY OPERATING COSTS — YEAR 1 STEADY STATE</t>
  </si>
  <si>
    <t xml:space="preserve">Assumes 4 employees by Month 6. Payroll detail on Payroll tab.</t>
  </si>
  <si>
    <t xml:space="preserve">Category</t>
  </si>
  <si>
    <t xml:space="preserve">Monthly</t>
  </si>
  <si>
    <t xml:space="preserve">Annual</t>
  </si>
  <si>
    <t xml:space="preserve">Notes</t>
  </si>
  <si>
    <t xml:space="preserve">FACILITY</t>
  </si>
  <si>
    <t xml:space="preserve">Rent (4,000 sq ft × $9/sq ft TMI)</t>
  </si>
  <si>
    <t xml:space="preserve">All-in gross lease including TMI</t>
  </si>
  <si>
    <t xml:space="preserve">Electricity</t>
  </si>
  <si>
    <t xml:space="preserve">~3,500 kWh/mo after OER rebate</t>
  </si>
  <si>
    <t xml:space="preserve">Natural Gas / Heating</t>
  </si>
  <si>
    <t xml:space="preserve">Enbridge commercial — seasonal avg</t>
  </si>
  <si>
    <t xml:space="preserve">Water / Sewer</t>
  </si>
  <si>
    <t xml:space="preserve">City of Hamilton commercial rate</t>
  </si>
  <si>
    <t xml:space="preserve">Waste / Recycling (incl. e-waste)</t>
  </si>
  <si>
    <t xml:space="preserve">Commercial pickup + e-waste disposal</t>
  </si>
  <si>
    <t xml:space="preserve">Subtotal — Facility</t>
  </si>
  <si>
    <t xml:space="preserve">INSURANCE &amp; PROFESSIONAL</t>
  </si>
  <si>
    <t xml:space="preserve">Commercial Insurance (CGL + property + E&amp;O)</t>
  </si>
  <si>
    <t xml:space="preserve">Annual premium amortized monthly</t>
  </si>
  <si>
    <t xml:space="preserve">Accounting / Bookkeeping / Legal</t>
  </si>
  <si>
    <t xml:space="preserve">Subtotal — Insurance &amp; Professional</t>
  </si>
  <si>
    <t xml:space="preserve">TECHNOLOGY &amp; COMMUNICATIONS</t>
  </si>
  <si>
    <t xml:space="preserve">Internet / Telecom</t>
  </si>
  <si>
    <t xml:space="preserve">Software Licenses (EDA, ERP, cloud)</t>
  </si>
  <si>
    <t xml:space="preserve">Cloud / Hosting / Backups</t>
  </si>
  <si>
    <t xml:space="preserve">AWS/Azure + offsite backup</t>
  </si>
  <si>
    <t xml:space="preserve">Subtotal — Technology</t>
  </si>
  <si>
    <t xml:space="preserve">OPERATIONS &amp; CONSUMABLES</t>
  </si>
  <si>
    <t xml:space="preserve">Solder paste / flux / solder wire</t>
  </si>
  <si>
    <t xml:space="preserve">Lead-free SAC305 paste + no-clean flux</t>
  </si>
  <si>
    <t xml:space="preserve">Soldering tips / nozzles / consumables</t>
  </si>
  <si>
    <t xml:space="preserve">ESD consumables (wrist straps, mats, bags)</t>
  </si>
  <si>
    <t xml:space="preserve">Shipping / Courier / Freight</t>
  </si>
  <si>
    <t xml:space="preserve">Office Supplies / Misc</t>
  </si>
  <si>
    <t xml:space="preserve">Equipment Maintenance / Calibration</t>
  </si>
  <si>
    <t xml:space="preserve">Annual cal amortized + preventive maint</t>
  </si>
  <si>
    <t xml:space="preserve">Subtotal — Operations &amp; Consumables</t>
  </si>
  <si>
    <t xml:space="preserve">TOTAL OVERHEAD (BEFORE PAYROLL)</t>
  </si>
  <si>
    <t xml:space="preserve">PAYROLL COST DETAIL — YEAR 1 TEAM</t>
  </si>
  <si>
    <t xml:space="preserve">Employer total cost per employee including all statutory contributions (2026 Ontario rates)</t>
  </si>
  <si>
    <t xml:space="preserve">Role</t>
  </si>
  <si>
    <t xml:space="preserve">Annual Salary</t>
  </si>
  <si>
    <t xml:space="preserve">CPP (ER)</t>
  </si>
  <si>
    <t xml:space="preserve">EI (ER)</t>
  </si>
  <si>
    <t xml:space="preserve">WSIB</t>
  </si>
  <si>
    <t xml:space="preserve">Vacation 4%</t>
  </si>
  <si>
    <t xml:space="preserve">Total ER Cost</t>
  </si>
  <si>
    <t xml:space="preserve">Monthly Cost</t>
  </si>
  <si>
    <t xml:space="preserve">Founder / GM (you — salary draw)</t>
  </si>
  <si>
    <t xml:space="preserve">Electronics Assembler / Technician</t>
  </si>
  <si>
    <t xml:space="preserve">Firmware Developer (assembly/C)</t>
  </si>
  <si>
    <t xml:space="preserve">Production Coordinator / QC</t>
  </si>
  <si>
    <t xml:space="preserve">TOTAL ANNUAL PAYROLL (4 employees)</t>
  </si>
  <si>
    <t xml:space="preserve">Employer Burden Summary</t>
  </si>
  <si>
    <t xml:space="preserve">Total Base Salaries</t>
  </si>
  <si>
    <t xml:space="preserve">Total Employer Contributions</t>
  </si>
  <si>
    <t xml:space="preserve">Effective Burden Rate</t>
  </si>
  <si>
    <t xml:space="preserve">Typically 9–16% for Ontario employers</t>
  </si>
  <si>
    <t xml:space="preserve">Monthly Payroll (total employer cost)</t>
  </si>
  <si>
    <t xml:space="preserve">YEAR 1 COST SUMMARY</t>
  </si>
  <si>
    <t xml:space="preserve">Total cost of operations — startup capital + 12 months operating + payroll</t>
  </si>
  <si>
    <t xml:space="preserve">Monthly Avg</t>
  </si>
  <si>
    <t xml:space="preserve">ONE-TIME STARTUP CAPITAL</t>
  </si>
  <si>
    <t xml:space="preserve">Total Startup Investment</t>
  </si>
  <si>
    <t xml:space="preserve">One-time — amortized for monthly reference only</t>
  </si>
  <si>
    <t xml:space="preserve">ANNUAL OPERATING COSTS</t>
  </si>
  <si>
    <t xml:space="preserve">Facility (rent, utilities, waste)</t>
  </si>
  <si>
    <t xml:space="preserve">Insurance &amp; Professional</t>
  </si>
  <si>
    <t xml:space="preserve">Technology &amp; Communications</t>
  </si>
  <si>
    <t xml:space="preserve">Operations &amp; Consumables</t>
  </si>
  <si>
    <t xml:space="preserve">Payroll (4 employees, all-in)</t>
  </si>
  <si>
    <t xml:space="preserve">Includes CPP, EI, WSIB, vacation pay</t>
  </si>
  <si>
    <t xml:space="preserve">TOTAL ANNUAL OPERATING</t>
  </si>
  <si>
    <t xml:space="preserve">YEAR 1 TOTAL CASH REQUIREMENT</t>
  </si>
  <si>
    <t xml:space="preserve">MONTHLY BURN RATE (operating only)</t>
  </si>
  <si>
    <t xml:space="preserve">What you need to cover each month after startup</t>
  </si>
  <si>
    <t xml:space="preserve">MONTHS OF RUNWAY (with 3-mo reserve)</t>
  </si>
  <si>
    <t xml:space="preserve">Based on $45K operating reserve in startup capital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</si>
</sst>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\$#,##0.00"/>
    <numFmt numFmtId="167" formatCode="\$#,##0"/>
    <numFmt numFmtId="168" formatCode="0.00"/>
    <numFmt numFmtId="169" formatCode="0.0%"/>
    <numFmt numFmtId="170" formatCode="0.000"/>
    <numFmt numFmtId="171" formatCode="0.000%"/>
    <numFmt numFmtId="172" formatCode="0.00%"/>
    <numFmt numFmtId="173" formatCode="0"/>
    <numFmt numFmtId="174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332"/>
      <name val="Arial"/>
      <family val="0"/>
      <charset val="1"/>
    </font>
    <font>
      <sz val="8"/>
      <color rgb="FF88888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A2332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D35400"/>
      <name val="Arial"/>
      <family val="0"/>
      <charset val="1"/>
    </font>
    <font>
      <b val="true"/>
      <sz val="12"/>
      <color rgb="FFD35400"/>
      <name val="Arial"/>
      <family val="0"/>
      <charset val="1"/>
    </font>
    <font>
      <b val="true"/>
      <sz val="14"/>
      <color rgb="FFD354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E2D8"/>
        <bgColor rgb="FFF0F0F0"/>
      </patternFill>
    </fill>
    <fill>
      <patternFill patternType="solid">
        <fgColor rgb="FFFFF8DC"/>
        <bgColor rgb="FFFFF0E0"/>
      </patternFill>
    </fill>
    <fill>
      <patternFill patternType="solid">
        <fgColor rgb="FF1A2332"/>
        <bgColor rgb="FF333300"/>
      </patternFill>
    </fill>
    <fill>
      <patternFill patternType="solid">
        <fgColor rgb="FFF0F0F0"/>
        <bgColor rgb="FFFFF0E0"/>
      </patternFill>
    </fill>
    <fill>
      <patternFill patternType="solid">
        <fgColor rgb="FFFFF0E0"/>
        <bgColor rgb="FFFFF8D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A233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8DC"/>
      <rgbColor rgb="FFF0F0F0"/>
      <rgbColor rgb="FF660066"/>
      <rgbColor rgb="FFFF8080"/>
      <rgbColor rgb="FF0066CC"/>
      <rgbColor rgb="FFE8E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ABDE3"/>
      <rgbColor rgb="FFCCFFFF"/>
      <rgbColor rgb="FFCCFFCC"/>
      <rgbColor rgb="FFFFF0E0"/>
      <rgbColor rgb="FF99CCFF"/>
      <rgbColor rgb="FFFF99CC"/>
      <rgbColor rgb="FFCC99FF"/>
      <rgbColor rgb="FFFFCC99"/>
      <rgbColor rgb="FF6C5CE7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27AE60"/>
      <rgbColor rgb="FF003300"/>
      <rgbColor rgb="FF333300"/>
      <rgbColor rgb="FFD35400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5400"/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0</v>
      </c>
      <c r="D1" s="3" t="s">
        <v>1</v>
      </c>
    </row>
    <row r="2" customFormat="false" ht="15" hidden="false" customHeight="true" outlineLevel="0" collapsed="false">
      <c r="A2" s="4" t="s">
        <v>2</v>
      </c>
    </row>
    <row r="4" customFormat="false" ht="15" hidden="false" customHeight="true" outlineLevel="0" collapsed="false">
      <c r="A4" s="5" t="s">
        <v>3</v>
      </c>
      <c r="B4" s="6"/>
      <c r="C4" s="6"/>
      <c r="D4" s="6"/>
    </row>
    <row r="5" customFormat="false" ht="15" hidden="false" customHeight="true" outlineLevel="0" collapsed="false">
      <c r="A5" s="7" t="s">
        <v>4</v>
      </c>
      <c r="B5" s="8" t="n">
        <v>4000</v>
      </c>
      <c r="D5" s="3" t="s">
        <v>5</v>
      </c>
    </row>
    <row r="6" customFormat="false" ht="15" hidden="false" customHeight="true" outlineLevel="0" collapsed="false">
      <c r="A6" s="7" t="s">
        <v>6</v>
      </c>
      <c r="B6" s="9" t="n">
        <v>9</v>
      </c>
      <c r="D6" s="3" t="s">
        <v>7</v>
      </c>
    </row>
    <row r="7" customFormat="false" ht="15" hidden="false" customHeight="true" outlineLevel="0" collapsed="false">
      <c r="A7" s="10" t="s">
        <v>8</v>
      </c>
      <c r="B7" s="11" t="n">
        <f aca="false">B5*B6</f>
        <v>36000</v>
      </c>
      <c r="D7" s="3" t="s">
        <v>9</v>
      </c>
    </row>
    <row r="8" customFormat="false" ht="15" hidden="false" customHeight="true" outlineLevel="0" collapsed="false">
      <c r="A8" s="7" t="s">
        <v>10</v>
      </c>
      <c r="B8" s="12" t="n">
        <f aca="false">B7/12</f>
        <v>3000</v>
      </c>
    </row>
    <row r="10" customFormat="false" ht="15" hidden="false" customHeight="true" outlineLevel="0" collapsed="false">
      <c r="A10" s="5" t="s">
        <v>11</v>
      </c>
      <c r="B10" s="6"/>
      <c r="C10" s="6"/>
      <c r="D10" s="6"/>
    </row>
    <row r="11" customFormat="false" ht="15" hidden="false" customHeight="true" outlineLevel="0" collapsed="false">
      <c r="A11" s="7" t="s">
        <v>12</v>
      </c>
      <c r="B11" s="13" t="n">
        <v>0.13</v>
      </c>
      <c r="C11" s="3" t="s">
        <v>13</v>
      </c>
      <c r="D11" s="3" t="s">
        <v>14</v>
      </c>
    </row>
    <row r="12" customFormat="false" ht="15" hidden="false" customHeight="true" outlineLevel="0" collapsed="false">
      <c r="A12" s="7" t="s">
        <v>15</v>
      </c>
      <c r="B12" s="14" t="n">
        <v>0.235</v>
      </c>
      <c r="D12" s="3" t="s">
        <v>16</v>
      </c>
    </row>
    <row r="13" customFormat="false" ht="15" hidden="false" customHeight="true" outlineLevel="0" collapsed="false">
      <c r="A13" s="10" t="s">
        <v>17</v>
      </c>
      <c r="B13" s="15" t="n">
        <f aca="false">B11*(1-B12)</f>
        <v>0.09945</v>
      </c>
    </row>
    <row r="14" customFormat="false" ht="15" hidden="false" customHeight="true" outlineLevel="0" collapsed="false">
      <c r="A14" s="7" t="s">
        <v>18</v>
      </c>
      <c r="B14" s="8" t="n">
        <v>3500</v>
      </c>
      <c r="D14" s="3" t="s">
        <v>19</v>
      </c>
    </row>
    <row r="15" customFormat="false" ht="15" hidden="false" customHeight="true" outlineLevel="0" collapsed="false">
      <c r="A15" s="10" t="s">
        <v>20</v>
      </c>
      <c r="B15" s="11" t="n">
        <f aca="false">B13*B14</f>
        <v>348.075</v>
      </c>
    </row>
    <row r="16" customFormat="false" ht="15" hidden="false" customHeight="true" outlineLevel="0" collapsed="false">
      <c r="A16" s="7" t="s">
        <v>21</v>
      </c>
      <c r="B16" s="12" t="n">
        <f aca="false">B15*12</f>
        <v>4176.9</v>
      </c>
    </row>
    <row r="18" customFormat="false" ht="15" hidden="false" customHeight="true" outlineLevel="0" collapsed="false">
      <c r="A18" s="5" t="s">
        <v>22</v>
      </c>
      <c r="B18" s="6"/>
      <c r="C18" s="6"/>
      <c r="D18" s="6"/>
    </row>
    <row r="19" customFormat="false" ht="15" hidden="false" customHeight="true" outlineLevel="0" collapsed="false">
      <c r="A19" s="7" t="s">
        <v>23</v>
      </c>
      <c r="B19" s="14" t="n">
        <v>0.0595</v>
      </c>
      <c r="D19" s="3" t="s">
        <v>24</v>
      </c>
    </row>
    <row r="20" customFormat="false" ht="15" hidden="false" customHeight="true" outlineLevel="0" collapsed="false">
      <c r="A20" s="7" t="s">
        <v>25</v>
      </c>
      <c r="B20" s="16" t="n">
        <v>3500</v>
      </c>
      <c r="D20" s="3" t="s">
        <v>26</v>
      </c>
    </row>
    <row r="21" customFormat="false" ht="15" hidden="false" customHeight="true" outlineLevel="0" collapsed="false">
      <c r="A21" s="7" t="s">
        <v>27</v>
      </c>
      <c r="B21" s="16" t="n">
        <v>74600</v>
      </c>
      <c r="D21" s="3" t="s">
        <v>26</v>
      </c>
    </row>
    <row r="22" customFormat="false" ht="15" hidden="false" customHeight="true" outlineLevel="0" collapsed="false">
      <c r="A22" s="7" t="s">
        <v>28</v>
      </c>
      <c r="B22" s="14" t="n">
        <v>0.04</v>
      </c>
      <c r="D22" s="3" t="s">
        <v>29</v>
      </c>
    </row>
    <row r="23" customFormat="false" ht="15" hidden="false" customHeight="true" outlineLevel="0" collapsed="false">
      <c r="A23" s="7" t="s">
        <v>30</v>
      </c>
      <c r="B23" s="17" t="n">
        <v>0.02282</v>
      </c>
      <c r="D23" s="3" t="s">
        <v>31</v>
      </c>
    </row>
    <row r="24" customFormat="false" ht="15" hidden="false" customHeight="true" outlineLevel="0" collapsed="false">
      <c r="A24" s="7" t="s">
        <v>32</v>
      </c>
      <c r="B24" s="16" t="n">
        <v>68900</v>
      </c>
      <c r="D24" s="3" t="s">
        <v>33</v>
      </c>
    </row>
    <row r="25" customFormat="false" ht="15" hidden="false" customHeight="true" outlineLevel="0" collapsed="false">
      <c r="A25" s="7" t="s">
        <v>34</v>
      </c>
      <c r="B25" s="9" t="n">
        <v>1572.3</v>
      </c>
      <c r="D25" s="3" t="s">
        <v>33</v>
      </c>
    </row>
    <row r="26" customFormat="false" ht="15" hidden="false" customHeight="true" outlineLevel="0" collapsed="false">
      <c r="A26" s="7" t="s">
        <v>35</v>
      </c>
      <c r="B26" s="18" t="n">
        <v>0.0123</v>
      </c>
      <c r="D26" s="3" t="s">
        <v>36</v>
      </c>
    </row>
    <row r="27" customFormat="false" ht="15" hidden="false" customHeight="true" outlineLevel="0" collapsed="false">
      <c r="A27" s="7" t="s">
        <v>37</v>
      </c>
      <c r="B27" s="14" t="n">
        <v>0.04</v>
      </c>
      <c r="D27" s="3" t="s">
        <v>38</v>
      </c>
    </row>
    <row r="28" customFormat="false" ht="15" hidden="false" customHeight="true" outlineLevel="0" collapsed="false">
      <c r="A28" s="7" t="s">
        <v>39</v>
      </c>
      <c r="B28" s="14" t="n">
        <v>0</v>
      </c>
      <c r="D28" s="3" t="s">
        <v>40</v>
      </c>
    </row>
    <row r="29" customFormat="false" ht="15" hidden="false" customHeight="true" outlineLevel="0" collapsed="false">
      <c r="A29" s="7" t="s">
        <v>41</v>
      </c>
      <c r="B29" s="19" t="n">
        <v>9</v>
      </c>
      <c r="D29" s="3" t="s">
        <v>42</v>
      </c>
    </row>
    <row r="31" customFormat="false" ht="15" hidden="false" customHeight="true" outlineLevel="0" collapsed="false">
      <c r="A31" s="5" t="s">
        <v>43</v>
      </c>
      <c r="B31" s="6"/>
      <c r="C31" s="6"/>
      <c r="D31" s="6"/>
    </row>
    <row r="32" customFormat="false" ht="15" hidden="false" customHeight="true" outlineLevel="0" collapsed="false">
      <c r="A32" s="7" t="s">
        <v>44</v>
      </c>
      <c r="B32" s="16" t="n">
        <v>8500</v>
      </c>
      <c r="D32" s="3" t="s">
        <v>45</v>
      </c>
    </row>
    <row r="33" customFormat="false" ht="15" hidden="false" customHeight="true" outlineLevel="0" collapsed="false">
      <c r="A33" s="7" t="s">
        <v>46</v>
      </c>
      <c r="B33" s="16" t="n">
        <v>350</v>
      </c>
      <c r="D33" s="3" t="s">
        <v>47</v>
      </c>
    </row>
    <row r="34" customFormat="false" ht="15" hidden="false" customHeight="true" outlineLevel="0" collapsed="false">
      <c r="A34" s="7" t="s">
        <v>48</v>
      </c>
      <c r="B34" s="16" t="n">
        <v>12000</v>
      </c>
      <c r="D34" s="3" t="s">
        <v>49</v>
      </c>
    </row>
    <row r="35" customFormat="false" ht="15" hidden="false" customHeight="true" outlineLevel="0" collapsed="false">
      <c r="A35" s="7" t="s">
        <v>50</v>
      </c>
      <c r="B35" s="16" t="n">
        <v>400</v>
      </c>
    </row>
    <row r="36" customFormat="false" ht="15" hidden="false" customHeight="true" outlineLevel="0" collapsed="false">
      <c r="A36" s="7" t="s">
        <v>51</v>
      </c>
      <c r="B36" s="16" t="n">
        <v>500</v>
      </c>
      <c r="D36" s="3" t="s">
        <v>52</v>
      </c>
    </row>
    <row r="37" customFormat="false" ht="15" hidden="false" customHeight="true" outlineLevel="0" collapsed="false">
      <c r="A37" s="7" t="s">
        <v>53</v>
      </c>
      <c r="B37" s="16" t="n">
        <v>600</v>
      </c>
      <c r="D37" s="3" t="s">
        <v>54</v>
      </c>
    </row>
    <row r="38" customFormat="false" ht="15" hidden="false" customHeight="true" outlineLevel="0" collapsed="false">
      <c r="A38" s="7" t="s">
        <v>55</v>
      </c>
      <c r="B38" s="14" t="n">
        <v>0.13</v>
      </c>
      <c r="D38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E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8"/>
    <col collapsed="false" customWidth="true" hidden="false" outlineLevel="0" max="4" min="3" style="1" width="14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2" t="s">
        <v>57</v>
      </c>
    </row>
    <row r="2" customFormat="false" ht="15" hidden="false" customHeight="true" outlineLevel="0" collapsed="false">
      <c r="A2" s="4" t="s">
        <v>58</v>
      </c>
    </row>
    <row r="4" customFormat="false" ht="15" hidden="false" customHeight="true" outlineLevel="0" collapsed="false">
      <c r="A4" s="20" t="s">
        <v>59</v>
      </c>
      <c r="B4" s="20" t="s">
        <v>60</v>
      </c>
      <c r="C4" s="20" t="s">
        <v>61</v>
      </c>
      <c r="D4" s="20" t="s">
        <v>62</v>
      </c>
      <c r="E4" s="20" t="s">
        <v>63</v>
      </c>
    </row>
    <row r="5" customFormat="false" ht="15" hidden="false" customHeight="true" outlineLevel="0" collapsed="false">
      <c r="A5" s="21" t="s">
        <v>64</v>
      </c>
      <c r="B5" s="21"/>
      <c r="C5" s="21"/>
      <c r="D5" s="21"/>
      <c r="E5" s="21"/>
    </row>
    <row r="6" customFormat="false" ht="15" hidden="false" customHeight="true" outlineLevel="0" collapsed="false">
      <c r="A6" s="7" t="s">
        <v>65</v>
      </c>
      <c r="B6" s="8" t="n">
        <v>4000</v>
      </c>
      <c r="C6" s="9" t="n">
        <v>4.5</v>
      </c>
      <c r="D6" s="12" t="n">
        <f aca="false">B6*C6</f>
        <v>18000</v>
      </c>
      <c r="E6" s="3" t="s">
        <v>66</v>
      </c>
    </row>
    <row r="7" customFormat="false" ht="15" hidden="false" customHeight="true" outlineLevel="0" collapsed="false">
      <c r="A7" s="7" t="s">
        <v>67</v>
      </c>
      <c r="B7" s="8" t="n">
        <v>1</v>
      </c>
      <c r="C7" s="9" t="n">
        <v>8500</v>
      </c>
      <c r="D7" s="12" t="n">
        <f aca="false">B7*C7</f>
        <v>8500</v>
      </c>
      <c r="E7" s="3" t="s">
        <v>68</v>
      </c>
    </row>
    <row r="8" customFormat="false" ht="15" hidden="false" customHeight="true" outlineLevel="0" collapsed="false">
      <c r="A8" s="7" t="s">
        <v>69</v>
      </c>
      <c r="B8" s="8" t="n">
        <v>12</v>
      </c>
      <c r="C8" s="9" t="n">
        <v>650</v>
      </c>
      <c r="D8" s="12" t="n">
        <f aca="false">B8*C8</f>
        <v>7800</v>
      </c>
      <c r="E8" s="3" t="s">
        <v>70</v>
      </c>
    </row>
    <row r="9" customFormat="false" ht="15" hidden="false" customHeight="true" outlineLevel="0" collapsed="false">
      <c r="A9" s="7" t="s">
        <v>71</v>
      </c>
      <c r="B9" s="8" t="n">
        <v>1</v>
      </c>
      <c r="C9" s="9" t="n">
        <v>6500</v>
      </c>
      <c r="D9" s="12" t="n">
        <f aca="false">B9*C9</f>
        <v>6500</v>
      </c>
      <c r="E9" s="3" t="s">
        <v>72</v>
      </c>
    </row>
    <row r="10" customFormat="false" ht="15" hidden="false" customHeight="true" outlineLevel="0" collapsed="false">
      <c r="A10" s="7" t="s">
        <v>73</v>
      </c>
      <c r="B10" s="8" t="n">
        <v>1</v>
      </c>
      <c r="C10" s="9" t="n">
        <v>4200</v>
      </c>
      <c r="D10" s="12" t="n">
        <f aca="false">B10*C10</f>
        <v>4200</v>
      </c>
      <c r="E10" s="3" t="s">
        <v>74</v>
      </c>
    </row>
    <row r="11" customFormat="false" ht="15" hidden="false" customHeight="true" outlineLevel="0" collapsed="false">
      <c r="A11" s="7" t="s">
        <v>75</v>
      </c>
      <c r="B11" s="8" t="n">
        <v>1</v>
      </c>
      <c r="C11" s="9" t="n">
        <v>3500</v>
      </c>
      <c r="D11" s="12" t="n">
        <f aca="false">B11*C11</f>
        <v>3500</v>
      </c>
      <c r="E11" s="3" t="s">
        <v>76</v>
      </c>
    </row>
    <row r="12" customFormat="false" ht="15" hidden="false" customHeight="true" outlineLevel="0" collapsed="false">
      <c r="A12" s="7" t="s">
        <v>77</v>
      </c>
      <c r="B12" s="8" t="n">
        <v>24</v>
      </c>
      <c r="C12" s="9" t="n">
        <v>185</v>
      </c>
      <c r="D12" s="12" t="n">
        <f aca="false">B12*C12</f>
        <v>4440</v>
      </c>
      <c r="E12" s="3" t="s">
        <v>78</v>
      </c>
    </row>
    <row r="13" customFormat="false" ht="15" hidden="false" customHeight="true" outlineLevel="0" collapsed="false">
      <c r="A13" s="7" t="s">
        <v>79</v>
      </c>
      <c r="B13" s="8" t="n">
        <v>1</v>
      </c>
      <c r="C13" s="9" t="n">
        <v>3800</v>
      </c>
      <c r="D13" s="12" t="n">
        <f aca="false">B13*C13</f>
        <v>3800</v>
      </c>
      <c r="E13" s="3" t="s">
        <v>80</v>
      </c>
    </row>
    <row r="14" customFormat="false" ht="15" hidden="false" customHeight="true" outlineLevel="0" collapsed="false">
      <c r="A14" s="7" t="s">
        <v>81</v>
      </c>
      <c r="B14" s="8" t="n">
        <v>1</v>
      </c>
      <c r="C14" s="9" t="n">
        <v>2500</v>
      </c>
      <c r="D14" s="12" t="n">
        <f aca="false">B14*C14</f>
        <v>2500</v>
      </c>
      <c r="E14" s="3" t="s">
        <v>82</v>
      </c>
    </row>
    <row r="15" customFormat="false" ht="15" hidden="false" customHeight="true" outlineLevel="0" collapsed="false">
      <c r="A15" s="22" t="s">
        <v>83</v>
      </c>
      <c r="B15" s="22"/>
      <c r="C15" s="22"/>
      <c r="D15" s="23" t="n">
        <f aca="false">SUM(D6:D14)</f>
        <v>59240</v>
      </c>
      <c r="E15" s="22"/>
    </row>
    <row r="17" customFormat="false" ht="15" hidden="false" customHeight="true" outlineLevel="0" collapsed="false">
      <c r="A17" s="21" t="s">
        <v>84</v>
      </c>
      <c r="B17" s="21"/>
      <c r="C17" s="21"/>
      <c r="D17" s="21"/>
      <c r="E17" s="21"/>
    </row>
    <row r="18" customFormat="false" ht="15" hidden="false" customHeight="true" outlineLevel="0" collapsed="false">
      <c r="A18" s="7" t="s">
        <v>85</v>
      </c>
      <c r="B18" s="8" t="n">
        <v>6</v>
      </c>
      <c r="C18" s="9" t="n">
        <v>3200</v>
      </c>
      <c r="D18" s="12" t="n">
        <f aca="false">B18*C18</f>
        <v>19200</v>
      </c>
      <c r="E18" s="3" t="s">
        <v>86</v>
      </c>
    </row>
    <row r="19" customFormat="false" ht="15" hidden="false" customHeight="true" outlineLevel="0" collapsed="false">
      <c r="A19" s="7" t="s">
        <v>87</v>
      </c>
      <c r="B19" s="8" t="n">
        <v>6</v>
      </c>
      <c r="C19" s="9" t="n">
        <v>450</v>
      </c>
      <c r="D19" s="12" t="n">
        <f aca="false">B19*C19</f>
        <v>2700</v>
      </c>
      <c r="E19" s="3" t="s">
        <v>88</v>
      </c>
    </row>
    <row r="20" customFormat="false" ht="15" hidden="false" customHeight="true" outlineLevel="0" collapsed="false">
      <c r="A20" s="7" t="s">
        <v>89</v>
      </c>
      <c r="B20" s="8" t="n">
        <v>6</v>
      </c>
      <c r="C20" s="9" t="n">
        <v>680</v>
      </c>
      <c r="D20" s="12" t="n">
        <f aca="false">B20*C20</f>
        <v>4080</v>
      </c>
      <c r="E20" s="3" t="s">
        <v>90</v>
      </c>
    </row>
    <row r="21" customFormat="false" ht="15" hidden="false" customHeight="true" outlineLevel="0" collapsed="false">
      <c r="A21" s="7" t="s">
        <v>91</v>
      </c>
      <c r="B21" s="8" t="n">
        <v>2</v>
      </c>
      <c r="C21" s="9" t="n">
        <v>1850</v>
      </c>
      <c r="D21" s="12" t="n">
        <f aca="false">B21*C21</f>
        <v>3700</v>
      </c>
      <c r="E21" s="3" t="s">
        <v>92</v>
      </c>
    </row>
    <row r="22" customFormat="false" ht="15" hidden="false" customHeight="true" outlineLevel="0" collapsed="false">
      <c r="A22" s="7" t="s">
        <v>93</v>
      </c>
      <c r="B22" s="8" t="n">
        <v>4</v>
      </c>
      <c r="C22" s="9" t="n">
        <v>850</v>
      </c>
      <c r="D22" s="12" t="n">
        <f aca="false">B22*C22</f>
        <v>3400</v>
      </c>
      <c r="E22" s="3" t="s">
        <v>94</v>
      </c>
    </row>
    <row r="23" customFormat="false" ht="15" hidden="false" customHeight="true" outlineLevel="0" collapsed="false">
      <c r="A23" s="7" t="s">
        <v>95</v>
      </c>
      <c r="B23" s="8" t="n">
        <v>1</v>
      </c>
      <c r="C23" s="9" t="n">
        <v>2800</v>
      </c>
      <c r="D23" s="12" t="n">
        <f aca="false">B23*C23</f>
        <v>2800</v>
      </c>
      <c r="E23" s="3" t="s">
        <v>96</v>
      </c>
    </row>
    <row r="24" customFormat="false" ht="15" hidden="false" customHeight="true" outlineLevel="0" collapsed="false">
      <c r="A24" s="7" t="s">
        <v>97</v>
      </c>
      <c r="B24" s="8" t="n">
        <v>1</v>
      </c>
      <c r="C24" s="9" t="n">
        <v>12500</v>
      </c>
      <c r="D24" s="12" t="n">
        <f aca="false">B24*C24</f>
        <v>12500</v>
      </c>
      <c r="E24" s="3" t="s">
        <v>98</v>
      </c>
    </row>
    <row r="25" customFormat="false" ht="15" hidden="false" customHeight="true" outlineLevel="0" collapsed="false">
      <c r="A25" s="7" t="s">
        <v>99</v>
      </c>
      <c r="B25" s="8" t="n">
        <v>1</v>
      </c>
      <c r="C25" s="9" t="n">
        <v>8500</v>
      </c>
      <c r="D25" s="12" t="n">
        <f aca="false">B25*C25</f>
        <v>8500</v>
      </c>
      <c r="E25" s="3" t="s">
        <v>100</v>
      </c>
    </row>
    <row r="26" customFormat="false" ht="15" hidden="false" customHeight="true" outlineLevel="0" collapsed="false">
      <c r="A26" s="7" t="s">
        <v>101</v>
      </c>
      <c r="B26" s="8" t="n">
        <v>1</v>
      </c>
      <c r="C26" s="9" t="n">
        <v>1800</v>
      </c>
      <c r="D26" s="12" t="n">
        <f aca="false">B26*C26</f>
        <v>1800</v>
      </c>
      <c r="E26" s="3" t="s">
        <v>102</v>
      </c>
    </row>
    <row r="27" customFormat="false" ht="15" hidden="false" customHeight="true" outlineLevel="0" collapsed="false">
      <c r="A27" s="7" t="s">
        <v>103</v>
      </c>
      <c r="B27" s="8" t="n">
        <v>1</v>
      </c>
      <c r="C27" s="9" t="n">
        <v>650</v>
      </c>
      <c r="D27" s="12" t="n">
        <f aca="false">B27*C27</f>
        <v>650</v>
      </c>
      <c r="E27" s="3" t="s">
        <v>104</v>
      </c>
    </row>
    <row r="28" customFormat="false" ht="15" hidden="false" customHeight="true" outlineLevel="0" collapsed="false">
      <c r="A28" s="7" t="s">
        <v>105</v>
      </c>
      <c r="B28" s="8" t="n">
        <v>2</v>
      </c>
      <c r="C28" s="9" t="n">
        <v>1200</v>
      </c>
      <c r="D28" s="12" t="n">
        <f aca="false">B28*C28</f>
        <v>2400</v>
      </c>
      <c r="E28" s="3" t="s">
        <v>106</v>
      </c>
    </row>
    <row r="29" customFormat="false" ht="15" hidden="false" customHeight="true" outlineLevel="0" collapsed="false">
      <c r="A29" s="7" t="s">
        <v>107</v>
      </c>
      <c r="B29" s="8" t="n">
        <v>6</v>
      </c>
      <c r="C29" s="9" t="n">
        <v>180</v>
      </c>
      <c r="D29" s="12" t="n">
        <f aca="false">B29*C29</f>
        <v>1080</v>
      </c>
      <c r="E29" s="3" t="s">
        <v>108</v>
      </c>
    </row>
    <row r="30" customFormat="false" ht="15" hidden="false" customHeight="true" outlineLevel="0" collapsed="false">
      <c r="A30" s="7" t="s">
        <v>109</v>
      </c>
      <c r="B30" s="8" t="n">
        <v>1</v>
      </c>
      <c r="C30" s="9" t="n">
        <v>4500</v>
      </c>
      <c r="D30" s="12" t="n">
        <f aca="false">B30*C30</f>
        <v>4500</v>
      </c>
      <c r="E30" s="3" t="s">
        <v>110</v>
      </c>
    </row>
    <row r="31" customFormat="false" ht="15" hidden="false" customHeight="true" outlineLevel="0" collapsed="false">
      <c r="A31" s="7" t="s">
        <v>111</v>
      </c>
      <c r="B31" s="8" t="n">
        <v>1</v>
      </c>
      <c r="C31" s="9" t="n">
        <v>2200</v>
      </c>
      <c r="D31" s="12" t="n">
        <f aca="false">B31*C31</f>
        <v>2200</v>
      </c>
      <c r="E31" s="3" t="s">
        <v>112</v>
      </c>
    </row>
    <row r="32" customFormat="false" ht="15" hidden="false" customHeight="true" outlineLevel="0" collapsed="false">
      <c r="A32" s="22" t="s">
        <v>113</v>
      </c>
      <c r="B32" s="22"/>
      <c r="C32" s="22"/>
      <c r="D32" s="23" t="n">
        <f aca="false">SUM(D18:D31)</f>
        <v>69510</v>
      </c>
      <c r="E32" s="22"/>
    </row>
    <row r="34" customFormat="false" ht="15" hidden="false" customHeight="true" outlineLevel="0" collapsed="false">
      <c r="A34" s="21" t="s">
        <v>114</v>
      </c>
      <c r="B34" s="21"/>
      <c r="C34" s="21"/>
      <c r="D34" s="21"/>
      <c r="E34" s="21"/>
    </row>
    <row r="35" customFormat="false" ht="15" hidden="false" customHeight="true" outlineLevel="0" collapsed="false">
      <c r="A35" s="7" t="s">
        <v>115</v>
      </c>
      <c r="B35" s="8" t="n">
        <v>2</v>
      </c>
      <c r="C35" s="9" t="n">
        <v>650</v>
      </c>
      <c r="D35" s="12" t="n">
        <f aca="false">B35*C35</f>
        <v>1300</v>
      </c>
      <c r="E35" s="3" t="s">
        <v>116</v>
      </c>
    </row>
    <row r="36" customFormat="false" ht="15" hidden="false" customHeight="true" outlineLevel="0" collapsed="false">
      <c r="A36" s="7" t="s">
        <v>117</v>
      </c>
      <c r="B36" s="8" t="n">
        <v>3</v>
      </c>
      <c r="C36" s="9" t="n">
        <v>420</v>
      </c>
      <c r="D36" s="12" t="n">
        <f aca="false">B36*C36</f>
        <v>1260</v>
      </c>
      <c r="E36" s="3" t="s">
        <v>118</v>
      </c>
    </row>
    <row r="37" customFormat="false" ht="15" hidden="false" customHeight="true" outlineLevel="0" collapsed="false">
      <c r="A37" s="7" t="s">
        <v>119</v>
      </c>
      <c r="B37" s="8" t="n">
        <v>2</v>
      </c>
      <c r="C37" s="9" t="n">
        <v>550</v>
      </c>
      <c r="D37" s="12" t="n">
        <f aca="false">B37*C37</f>
        <v>1100</v>
      </c>
      <c r="E37" s="3" t="s">
        <v>120</v>
      </c>
    </row>
    <row r="38" customFormat="false" ht="15" hidden="false" customHeight="true" outlineLevel="0" collapsed="false">
      <c r="A38" s="7" t="s">
        <v>121</v>
      </c>
      <c r="B38" s="8" t="n">
        <v>2</v>
      </c>
      <c r="C38" s="9" t="n">
        <v>700</v>
      </c>
      <c r="D38" s="12" t="n">
        <f aca="false">B38*C38</f>
        <v>1400</v>
      </c>
      <c r="E38" s="3" t="s">
        <v>122</v>
      </c>
    </row>
    <row r="39" customFormat="false" ht="15" hidden="false" customHeight="true" outlineLevel="0" collapsed="false">
      <c r="A39" s="7" t="s">
        <v>123</v>
      </c>
      <c r="B39" s="8" t="n">
        <v>1</v>
      </c>
      <c r="C39" s="9" t="n">
        <v>480</v>
      </c>
      <c r="D39" s="12" t="n">
        <f aca="false">B39*C39</f>
        <v>480</v>
      </c>
      <c r="E39" s="3" t="s">
        <v>124</v>
      </c>
    </row>
    <row r="40" customFormat="false" ht="15" hidden="false" customHeight="true" outlineLevel="0" collapsed="false">
      <c r="A40" s="7" t="s">
        <v>125</v>
      </c>
      <c r="B40" s="8" t="n">
        <v>1</v>
      </c>
      <c r="C40" s="9" t="n">
        <v>850</v>
      </c>
      <c r="D40" s="12" t="n">
        <f aca="false">B40*C40</f>
        <v>850</v>
      </c>
      <c r="E40" s="3" t="s">
        <v>126</v>
      </c>
    </row>
    <row r="41" customFormat="false" ht="15" hidden="false" customHeight="true" outlineLevel="0" collapsed="false">
      <c r="A41" s="7" t="s">
        <v>127</v>
      </c>
      <c r="B41" s="8" t="n">
        <v>1</v>
      </c>
      <c r="C41" s="9" t="n">
        <v>5500</v>
      </c>
      <c r="D41" s="12" t="n">
        <f aca="false">B41*C41</f>
        <v>5500</v>
      </c>
      <c r="E41" s="3" t="s">
        <v>128</v>
      </c>
    </row>
    <row r="42" customFormat="false" ht="15" hidden="false" customHeight="true" outlineLevel="0" collapsed="false">
      <c r="A42" s="7" t="s">
        <v>129</v>
      </c>
      <c r="B42" s="8" t="n">
        <v>1</v>
      </c>
      <c r="C42" s="9" t="n">
        <v>1200</v>
      </c>
      <c r="D42" s="12" t="n">
        <f aca="false">B42*C42</f>
        <v>1200</v>
      </c>
      <c r="E42" s="3" t="s">
        <v>130</v>
      </c>
    </row>
    <row r="43" customFormat="false" ht="15" hidden="false" customHeight="true" outlineLevel="0" collapsed="false">
      <c r="A43" s="7" t="s">
        <v>131</v>
      </c>
      <c r="B43" s="8" t="n">
        <v>8</v>
      </c>
      <c r="C43" s="9" t="n">
        <v>85</v>
      </c>
      <c r="D43" s="12" t="n">
        <f aca="false">B43*C43</f>
        <v>680</v>
      </c>
      <c r="E43" s="3" t="s">
        <v>132</v>
      </c>
    </row>
    <row r="44" customFormat="false" ht="15" hidden="false" customHeight="true" outlineLevel="0" collapsed="false">
      <c r="A44" s="22" t="s">
        <v>133</v>
      </c>
      <c r="B44" s="22"/>
      <c r="C44" s="22"/>
      <c r="D44" s="23" t="n">
        <f aca="false">SUM(D35:D43)</f>
        <v>13770</v>
      </c>
      <c r="E44" s="22"/>
    </row>
    <row r="46" customFormat="false" ht="15" hidden="false" customHeight="true" outlineLevel="0" collapsed="false">
      <c r="A46" s="21" t="s">
        <v>134</v>
      </c>
      <c r="B46" s="21"/>
      <c r="C46" s="21"/>
      <c r="D46" s="21"/>
      <c r="E46" s="21"/>
    </row>
    <row r="47" customFormat="false" ht="15" hidden="false" customHeight="true" outlineLevel="0" collapsed="false">
      <c r="A47" s="7" t="s">
        <v>135</v>
      </c>
      <c r="B47" s="8" t="n">
        <v>3</v>
      </c>
      <c r="C47" s="9" t="n">
        <v>2200</v>
      </c>
      <c r="D47" s="12" t="n">
        <f aca="false">B47*C47</f>
        <v>6600</v>
      </c>
      <c r="E47" s="3" t="s">
        <v>136</v>
      </c>
    </row>
    <row r="48" customFormat="false" ht="15" hidden="false" customHeight="true" outlineLevel="0" collapsed="false">
      <c r="A48" s="7" t="s">
        <v>137</v>
      </c>
      <c r="B48" s="8" t="n">
        <v>6</v>
      </c>
      <c r="C48" s="9" t="n">
        <v>380</v>
      </c>
      <c r="D48" s="12" t="n">
        <f aca="false">B48*C48</f>
        <v>2280</v>
      </c>
      <c r="E48" s="3" t="s">
        <v>138</v>
      </c>
    </row>
    <row r="49" customFormat="false" ht="15" hidden="false" customHeight="true" outlineLevel="0" collapsed="false">
      <c r="A49" s="7" t="s">
        <v>139</v>
      </c>
      <c r="B49" s="8" t="n">
        <v>1</v>
      </c>
      <c r="C49" s="9" t="n">
        <v>1200</v>
      </c>
      <c r="D49" s="12" t="n">
        <f aca="false">B49*C49</f>
        <v>1200</v>
      </c>
      <c r="E49" s="3" t="s">
        <v>140</v>
      </c>
    </row>
    <row r="50" customFormat="false" ht="15" hidden="false" customHeight="true" outlineLevel="0" collapsed="false">
      <c r="A50" s="7" t="s">
        <v>141</v>
      </c>
      <c r="B50" s="8" t="n">
        <v>3</v>
      </c>
      <c r="C50" s="9" t="n">
        <v>350</v>
      </c>
      <c r="D50" s="12" t="n">
        <f aca="false">B50*C50</f>
        <v>1050</v>
      </c>
      <c r="E50" s="3" t="s">
        <v>142</v>
      </c>
    </row>
    <row r="51" customFormat="false" ht="15" hidden="false" customHeight="true" outlineLevel="0" collapsed="false">
      <c r="A51" s="7" t="s">
        <v>143</v>
      </c>
      <c r="B51" s="8" t="n">
        <v>1</v>
      </c>
      <c r="C51" s="9" t="n">
        <v>3500</v>
      </c>
      <c r="D51" s="12" t="n">
        <f aca="false">B51*C51</f>
        <v>3500</v>
      </c>
      <c r="E51" s="3" t="s">
        <v>144</v>
      </c>
    </row>
    <row r="52" customFormat="false" ht="15" hidden="false" customHeight="true" outlineLevel="0" collapsed="false">
      <c r="A52" s="7" t="s">
        <v>145</v>
      </c>
      <c r="B52" s="8" t="n">
        <v>2</v>
      </c>
      <c r="C52" s="9" t="n">
        <v>450</v>
      </c>
      <c r="D52" s="12" t="n">
        <f aca="false">B52*C52</f>
        <v>900</v>
      </c>
      <c r="E52" s="3" t="s">
        <v>146</v>
      </c>
    </row>
    <row r="53" customFormat="false" ht="15" hidden="false" customHeight="true" outlineLevel="0" collapsed="false">
      <c r="A53" s="7" t="s">
        <v>147</v>
      </c>
      <c r="B53" s="8" t="n">
        <v>1</v>
      </c>
      <c r="C53" s="9" t="n">
        <v>4500</v>
      </c>
      <c r="D53" s="12" t="n">
        <f aca="false">B53*C53</f>
        <v>4500</v>
      </c>
      <c r="E53" s="3" t="s">
        <v>148</v>
      </c>
    </row>
    <row r="54" customFormat="false" ht="15" hidden="false" customHeight="true" outlineLevel="0" collapsed="false">
      <c r="A54" s="22" t="s">
        <v>149</v>
      </c>
      <c r="B54" s="22"/>
      <c r="C54" s="22"/>
      <c r="D54" s="23" t="n">
        <f aca="false">SUM(D47:D53)</f>
        <v>20030</v>
      </c>
      <c r="E54" s="22"/>
    </row>
    <row r="56" customFormat="false" ht="15" hidden="false" customHeight="true" outlineLevel="0" collapsed="false">
      <c r="A56" s="21" t="s">
        <v>150</v>
      </c>
      <c r="B56" s="21"/>
      <c r="C56" s="21"/>
      <c r="D56" s="21"/>
      <c r="E56" s="21"/>
    </row>
    <row r="57" customFormat="false" ht="15" hidden="false" customHeight="true" outlineLevel="0" collapsed="false">
      <c r="A57" s="7" t="s">
        <v>151</v>
      </c>
      <c r="B57" s="8" t="n">
        <v>6</v>
      </c>
      <c r="C57" s="9" t="n">
        <v>1100</v>
      </c>
      <c r="D57" s="12" t="n">
        <f aca="false">B57*C57</f>
        <v>6600</v>
      </c>
      <c r="E57" s="3" t="s">
        <v>152</v>
      </c>
    </row>
    <row r="58" customFormat="false" ht="15" hidden="false" customHeight="true" outlineLevel="0" collapsed="false">
      <c r="A58" s="7" t="s">
        <v>153</v>
      </c>
      <c r="B58" s="8" t="n">
        <v>1</v>
      </c>
      <c r="C58" s="9" t="n">
        <v>2800</v>
      </c>
      <c r="D58" s="12" t="n">
        <f aca="false">B58*C58</f>
        <v>2800</v>
      </c>
      <c r="E58" s="3" t="s">
        <v>154</v>
      </c>
    </row>
    <row r="59" customFormat="false" ht="15" hidden="false" customHeight="true" outlineLevel="0" collapsed="false">
      <c r="A59" s="7" t="s">
        <v>155</v>
      </c>
      <c r="B59" s="8" t="n">
        <v>1</v>
      </c>
      <c r="C59" s="9" t="n">
        <v>3500</v>
      </c>
      <c r="D59" s="12" t="n">
        <f aca="false">B59*C59</f>
        <v>3500</v>
      </c>
      <c r="E59" s="3" t="s">
        <v>156</v>
      </c>
    </row>
    <row r="60" customFormat="false" ht="15" hidden="false" customHeight="true" outlineLevel="0" collapsed="false">
      <c r="A60" s="7" t="s">
        <v>157</v>
      </c>
      <c r="B60" s="8" t="n">
        <v>1</v>
      </c>
      <c r="C60" s="9" t="n">
        <v>800</v>
      </c>
      <c r="D60" s="12" t="n">
        <f aca="false">B60*C60</f>
        <v>800</v>
      </c>
      <c r="E60" s="3" t="s">
        <v>158</v>
      </c>
    </row>
    <row r="61" customFormat="false" ht="15" hidden="false" customHeight="true" outlineLevel="0" collapsed="false">
      <c r="A61" s="7" t="s">
        <v>159</v>
      </c>
      <c r="B61" s="8" t="n">
        <v>1</v>
      </c>
      <c r="C61" s="9" t="n">
        <v>600</v>
      </c>
      <c r="D61" s="12" t="n">
        <f aca="false">B61*C61</f>
        <v>600</v>
      </c>
      <c r="E61" s="3" t="s">
        <v>160</v>
      </c>
    </row>
    <row r="62" customFormat="false" ht="15" hidden="false" customHeight="true" outlineLevel="0" collapsed="false">
      <c r="A62" s="22" t="s">
        <v>161</v>
      </c>
      <c r="B62" s="22"/>
      <c r="C62" s="22"/>
      <c r="D62" s="23" t="n">
        <f aca="false">SUM(D57:D61)</f>
        <v>14300</v>
      </c>
      <c r="E62" s="22"/>
    </row>
    <row r="64" customFormat="false" ht="15" hidden="false" customHeight="true" outlineLevel="0" collapsed="false">
      <c r="A64" s="21" t="s">
        <v>162</v>
      </c>
      <c r="B64" s="21"/>
      <c r="C64" s="21"/>
      <c r="D64" s="21"/>
      <c r="E64" s="21"/>
    </row>
    <row r="65" customFormat="false" ht="15" hidden="false" customHeight="true" outlineLevel="0" collapsed="false">
      <c r="A65" s="7" t="s">
        <v>163</v>
      </c>
      <c r="B65" s="8" t="n">
        <v>1</v>
      </c>
      <c r="C65" s="9" t="n">
        <v>25000</v>
      </c>
      <c r="D65" s="12" t="n">
        <f aca="false">B65*C65</f>
        <v>25000</v>
      </c>
      <c r="E65" s="3" t="s">
        <v>164</v>
      </c>
    </row>
    <row r="66" customFormat="false" ht="15" hidden="false" customHeight="true" outlineLevel="0" collapsed="false">
      <c r="A66" s="7" t="s">
        <v>165</v>
      </c>
      <c r="B66" s="8" t="n">
        <v>5</v>
      </c>
      <c r="C66" s="9" t="n">
        <v>1800</v>
      </c>
      <c r="D66" s="12" t="n">
        <f aca="false">B66*C66</f>
        <v>9000</v>
      </c>
      <c r="E66" s="3" t="s">
        <v>166</v>
      </c>
    </row>
    <row r="67" customFormat="false" ht="15" hidden="false" customHeight="true" outlineLevel="0" collapsed="false">
      <c r="A67" s="7" t="s">
        <v>167</v>
      </c>
      <c r="B67" s="8" t="n">
        <v>1</v>
      </c>
      <c r="C67" s="9" t="n">
        <v>3000</v>
      </c>
      <c r="D67" s="12" t="n">
        <f aca="false">B67*C67</f>
        <v>3000</v>
      </c>
      <c r="E67" s="3" t="s">
        <v>168</v>
      </c>
    </row>
    <row r="68" customFormat="false" ht="15" hidden="false" customHeight="true" outlineLevel="0" collapsed="false">
      <c r="A68" s="7" t="s">
        <v>169</v>
      </c>
      <c r="B68" s="8" t="n">
        <v>1</v>
      </c>
      <c r="C68" s="9" t="n">
        <v>4500</v>
      </c>
      <c r="D68" s="12" t="n">
        <f aca="false">B68*C68</f>
        <v>4500</v>
      </c>
      <c r="E68" s="3" t="s">
        <v>170</v>
      </c>
    </row>
    <row r="69" customFormat="false" ht="15" hidden="false" customHeight="true" outlineLevel="0" collapsed="false">
      <c r="A69" s="7" t="s">
        <v>171</v>
      </c>
      <c r="B69" s="8" t="n">
        <v>1</v>
      </c>
      <c r="C69" s="9" t="n">
        <v>5000</v>
      </c>
      <c r="D69" s="12" t="n">
        <f aca="false">B69*C69</f>
        <v>5000</v>
      </c>
      <c r="E69" s="3" t="s">
        <v>172</v>
      </c>
    </row>
    <row r="70" customFormat="false" ht="15" hidden="false" customHeight="true" outlineLevel="0" collapsed="false">
      <c r="A70" s="7" t="s">
        <v>173</v>
      </c>
      <c r="B70" s="8" t="n">
        <v>1</v>
      </c>
      <c r="C70" s="9" t="n">
        <v>45000</v>
      </c>
      <c r="D70" s="12" t="n">
        <f aca="false">B70*C70</f>
        <v>45000</v>
      </c>
      <c r="E70" s="3" t="s">
        <v>174</v>
      </c>
    </row>
    <row r="71" customFormat="false" ht="15" hidden="false" customHeight="true" outlineLevel="0" collapsed="false">
      <c r="A71" s="7" t="s">
        <v>175</v>
      </c>
      <c r="B71" s="8" t="n">
        <v>1</v>
      </c>
      <c r="C71" s="24" t="n">
        <f aca="false">(D32+D44+D54)*0.1</f>
        <v>10331</v>
      </c>
      <c r="D71" s="12" t="n">
        <f aca="false">B71*C71</f>
        <v>10331</v>
      </c>
      <c r="E71" s="3" t="s">
        <v>176</v>
      </c>
    </row>
    <row r="72" customFormat="false" ht="15" hidden="false" customHeight="true" outlineLevel="0" collapsed="false">
      <c r="A72" s="22" t="s">
        <v>177</v>
      </c>
      <c r="B72" s="22"/>
      <c r="C72" s="22"/>
      <c r="D72" s="23" t="n">
        <f aca="false">SUM(D65:D71)</f>
        <v>101831</v>
      </c>
      <c r="E72" s="22"/>
    </row>
    <row r="74" customFormat="false" ht="15.75" hidden="false" customHeight="true" outlineLevel="0" collapsed="false">
      <c r="A74" s="25" t="s">
        <v>178</v>
      </c>
      <c r="D74" s="26" t="n">
        <f aca="false">D15+D32+D44+D54+D62+D72</f>
        <v>278681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BDE3"/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179</v>
      </c>
    </row>
    <row r="2" customFormat="false" ht="15" hidden="false" customHeight="true" outlineLevel="0" collapsed="false">
      <c r="A2" s="4" t="s">
        <v>180</v>
      </c>
    </row>
    <row r="4" customFormat="false" ht="15" hidden="false" customHeight="true" outlineLevel="0" collapsed="false">
      <c r="A4" s="20" t="s">
        <v>181</v>
      </c>
      <c r="B4" s="20" t="s">
        <v>182</v>
      </c>
      <c r="C4" s="20" t="s">
        <v>183</v>
      </c>
      <c r="D4" s="20" t="s">
        <v>184</v>
      </c>
    </row>
    <row r="5" customFormat="false" ht="15" hidden="false" customHeight="true" outlineLevel="0" collapsed="false">
      <c r="A5" s="21" t="s">
        <v>185</v>
      </c>
      <c r="B5" s="21"/>
      <c r="C5" s="21"/>
      <c r="D5" s="21"/>
    </row>
    <row r="6" customFormat="false" ht="15" hidden="false" customHeight="true" outlineLevel="0" collapsed="false">
      <c r="A6" s="7" t="s">
        <v>186</v>
      </c>
      <c r="B6" s="12" t="n">
        <f aca="false">Assumptions!B8</f>
        <v>3000</v>
      </c>
      <c r="C6" s="12" t="n">
        <f aca="false">B6*12</f>
        <v>36000</v>
      </c>
      <c r="D6" s="3" t="s">
        <v>187</v>
      </c>
    </row>
    <row r="7" customFormat="false" ht="15" hidden="false" customHeight="true" outlineLevel="0" collapsed="false">
      <c r="A7" s="7" t="s">
        <v>188</v>
      </c>
      <c r="B7" s="12" t="n">
        <f aca="false">Assumptions!B15</f>
        <v>348.075</v>
      </c>
      <c r="C7" s="12" t="n">
        <f aca="false">B7*12</f>
        <v>4176.9</v>
      </c>
      <c r="D7" s="3" t="s">
        <v>189</v>
      </c>
    </row>
    <row r="8" customFormat="false" ht="15" hidden="false" customHeight="true" outlineLevel="0" collapsed="false">
      <c r="A8" s="7" t="s">
        <v>190</v>
      </c>
      <c r="B8" s="16" t="n">
        <v>280</v>
      </c>
      <c r="C8" s="12" t="n">
        <f aca="false">B8*12</f>
        <v>3360</v>
      </c>
      <c r="D8" s="3" t="s">
        <v>191</v>
      </c>
    </row>
    <row r="9" customFormat="false" ht="15" hidden="false" customHeight="true" outlineLevel="0" collapsed="false">
      <c r="A9" s="7" t="s">
        <v>192</v>
      </c>
      <c r="B9" s="16" t="n">
        <v>85</v>
      </c>
      <c r="C9" s="12" t="n">
        <f aca="false">B9*12</f>
        <v>1020</v>
      </c>
      <c r="D9" s="3" t="s">
        <v>193</v>
      </c>
    </row>
    <row r="10" customFormat="false" ht="15" hidden="false" customHeight="true" outlineLevel="0" collapsed="false">
      <c r="A10" s="7" t="s">
        <v>194</v>
      </c>
      <c r="B10" s="16" t="n">
        <v>120</v>
      </c>
      <c r="C10" s="12" t="n">
        <f aca="false">B10*12</f>
        <v>1440</v>
      </c>
      <c r="D10" s="3" t="s">
        <v>195</v>
      </c>
    </row>
    <row r="11" customFormat="false" ht="15" hidden="false" customHeight="true" outlineLevel="0" collapsed="false">
      <c r="A11" s="22" t="s">
        <v>196</v>
      </c>
      <c r="B11" s="23" t="n">
        <f aca="false">SUM(B6:B10)</f>
        <v>3833.075</v>
      </c>
      <c r="C11" s="23" t="n">
        <f aca="false">B11*12</f>
        <v>45996.9</v>
      </c>
      <c r="D11" s="22"/>
    </row>
    <row r="13" customFormat="false" ht="15" hidden="false" customHeight="true" outlineLevel="0" collapsed="false">
      <c r="A13" s="21" t="s">
        <v>197</v>
      </c>
      <c r="B13" s="21"/>
      <c r="C13" s="21"/>
      <c r="D13" s="21"/>
    </row>
    <row r="14" customFormat="false" ht="15" hidden="false" customHeight="true" outlineLevel="0" collapsed="false">
      <c r="A14" s="7" t="s">
        <v>198</v>
      </c>
      <c r="B14" s="12" t="n">
        <f aca="false">Assumptions!B32/12</f>
        <v>708.333333333333</v>
      </c>
      <c r="C14" s="12" t="n">
        <f aca="false">B14*12</f>
        <v>8500</v>
      </c>
      <c r="D14" s="3" t="s">
        <v>199</v>
      </c>
    </row>
    <row r="15" customFormat="false" ht="15" hidden="false" customHeight="true" outlineLevel="0" collapsed="false">
      <c r="A15" s="7" t="s">
        <v>200</v>
      </c>
      <c r="B15" s="12" t="n">
        <f aca="false">Assumptions!B34/12</f>
        <v>1000</v>
      </c>
      <c r="C15" s="12" t="n">
        <f aca="false">B15*12</f>
        <v>12000</v>
      </c>
    </row>
    <row r="16" customFormat="false" ht="15" hidden="false" customHeight="true" outlineLevel="0" collapsed="false">
      <c r="A16" s="22" t="s">
        <v>201</v>
      </c>
      <c r="B16" s="23" t="n">
        <f aca="false">SUM(B14:B15)</f>
        <v>1708.33333333333</v>
      </c>
      <c r="C16" s="23" t="n">
        <f aca="false">B16*12</f>
        <v>20500</v>
      </c>
      <c r="D16" s="22"/>
    </row>
    <row r="18" customFormat="false" ht="15" hidden="false" customHeight="true" outlineLevel="0" collapsed="false">
      <c r="A18" s="21" t="s">
        <v>202</v>
      </c>
      <c r="B18" s="21"/>
      <c r="C18" s="21"/>
      <c r="D18" s="21"/>
    </row>
    <row r="19" customFormat="false" ht="15" hidden="false" customHeight="true" outlineLevel="0" collapsed="false">
      <c r="A19" s="7" t="s">
        <v>203</v>
      </c>
      <c r="B19" s="12" t="n">
        <f aca="false">Assumptions!B33</f>
        <v>350</v>
      </c>
      <c r="C19" s="12" t="n">
        <f aca="false">B19*12</f>
        <v>4200</v>
      </c>
    </row>
    <row r="20" customFormat="false" ht="15" hidden="false" customHeight="true" outlineLevel="0" collapsed="false">
      <c r="A20" s="7" t="s">
        <v>204</v>
      </c>
      <c r="B20" s="12" t="n">
        <f aca="false">Assumptions!B36</f>
        <v>500</v>
      </c>
      <c r="C20" s="12" t="n">
        <f aca="false">B20*12</f>
        <v>6000</v>
      </c>
    </row>
    <row r="21" customFormat="false" ht="15" hidden="false" customHeight="true" outlineLevel="0" collapsed="false">
      <c r="A21" s="7" t="s">
        <v>205</v>
      </c>
      <c r="B21" s="16" t="n">
        <v>150</v>
      </c>
      <c r="C21" s="12" t="n">
        <f aca="false">B21*12</f>
        <v>1800</v>
      </c>
      <c r="D21" s="3" t="s">
        <v>206</v>
      </c>
    </row>
    <row r="22" customFormat="false" ht="15" hidden="false" customHeight="true" outlineLevel="0" collapsed="false">
      <c r="A22" s="22" t="s">
        <v>207</v>
      </c>
      <c r="B22" s="23" t="n">
        <f aca="false">SUM(B19:B21)</f>
        <v>1000</v>
      </c>
      <c r="C22" s="23" t="n">
        <f aca="false">B22*12</f>
        <v>12000</v>
      </c>
      <c r="D22" s="22"/>
    </row>
    <row r="24" customFormat="false" ht="15" hidden="false" customHeight="true" outlineLevel="0" collapsed="false">
      <c r="A24" s="21" t="s">
        <v>208</v>
      </c>
      <c r="B24" s="21"/>
      <c r="C24" s="21"/>
      <c r="D24" s="21"/>
    </row>
    <row r="25" customFormat="false" ht="15" hidden="false" customHeight="true" outlineLevel="0" collapsed="false">
      <c r="A25" s="7" t="s">
        <v>209</v>
      </c>
      <c r="B25" s="16" t="n">
        <v>350</v>
      </c>
      <c r="C25" s="12" t="n">
        <f aca="false">B25*12</f>
        <v>4200</v>
      </c>
      <c r="D25" s="3" t="s">
        <v>210</v>
      </c>
    </row>
    <row r="26" customFormat="false" ht="15" hidden="false" customHeight="true" outlineLevel="0" collapsed="false">
      <c r="A26" s="7" t="s">
        <v>211</v>
      </c>
      <c r="B26" s="16" t="n">
        <v>120</v>
      </c>
      <c r="C26" s="12" t="n">
        <f aca="false">B26*12</f>
        <v>1440</v>
      </c>
    </row>
    <row r="27" customFormat="false" ht="15" hidden="false" customHeight="true" outlineLevel="0" collapsed="false">
      <c r="A27" s="7" t="s">
        <v>212</v>
      </c>
      <c r="B27" s="16" t="n">
        <v>100</v>
      </c>
      <c r="C27" s="12" t="n">
        <f aca="false">B27*12</f>
        <v>1200</v>
      </c>
    </row>
    <row r="28" customFormat="false" ht="15" hidden="false" customHeight="true" outlineLevel="0" collapsed="false">
      <c r="A28" s="7" t="s">
        <v>213</v>
      </c>
      <c r="B28" s="12" t="n">
        <f aca="false">Assumptions!B37</f>
        <v>600</v>
      </c>
      <c r="C28" s="12" t="n">
        <f aca="false">B28*12</f>
        <v>7200</v>
      </c>
    </row>
    <row r="29" customFormat="false" ht="15" hidden="false" customHeight="true" outlineLevel="0" collapsed="false">
      <c r="A29" s="7" t="s">
        <v>214</v>
      </c>
      <c r="B29" s="12" t="n">
        <f aca="false">Assumptions!B35</f>
        <v>400</v>
      </c>
      <c r="C29" s="12" t="n">
        <f aca="false">B29*12</f>
        <v>4800</v>
      </c>
    </row>
    <row r="30" customFormat="false" ht="15" hidden="false" customHeight="true" outlineLevel="0" collapsed="false">
      <c r="A30" s="7" t="s">
        <v>215</v>
      </c>
      <c r="B30" s="16" t="n">
        <v>250</v>
      </c>
      <c r="C30" s="12" t="n">
        <f aca="false">B30*12</f>
        <v>3000</v>
      </c>
      <c r="D30" s="3" t="s">
        <v>216</v>
      </c>
    </row>
    <row r="31" customFormat="false" ht="15" hidden="false" customHeight="true" outlineLevel="0" collapsed="false">
      <c r="A31" s="22" t="s">
        <v>217</v>
      </c>
      <c r="B31" s="23" t="n">
        <f aca="false">SUM(B25:B30)</f>
        <v>1820</v>
      </c>
      <c r="C31" s="23" t="n">
        <f aca="false">B31*12</f>
        <v>21840</v>
      </c>
      <c r="D31" s="22"/>
    </row>
    <row r="33" customFormat="false" ht="15" hidden="false" customHeight="true" outlineLevel="0" collapsed="false">
      <c r="A33" s="27" t="s">
        <v>218</v>
      </c>
      <c r="B33" s="28" t="n">
        <f aca="false">B11+B16+B22+B31</f>
        <v>8361.40833333333</v>
      </c>
      <c r="C33" s="28" t="n">
        <f aca="false">B33*12</f>
        <v>100336.9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8" min="2" style="1" width="14"/>
  </cols>
  <sheetData>
    <row r="1" customFormat="false" ht="17.25" hidden="false" customHeight="true" outlineLevel="0" collapsed="false">
      <c r="A1" s="2" t="s">
        <v>219</v>
      </c>
    </row>
    <row r="2" customFormat="false" ht="15" hidden="false" customHeight="true" outlineLevel="0" collapsed="false">
      <c r="A2" s="4" t="s">
        <v>220</v>
      </c>
    </row>
    <row r="4" customFormat="false" ht="26.25" hidden="false" customHeight="true" outlineLevel="0" collapsed="false">
      <c r="A4" s="20" t="s">
        <v>221</v>
      </c>
      <c r="B4" s="20" t="s">
        <v>222</v>
      </c>
      <c r="C4" s="20" t="s">
        <v>223</v>
      </c>
      <c r="D4" s="20" t="s">
        <v>224</v>
      </c>
      <c r="E4" s="20" t="s">
        <v>225</v>
      </c>
      <c r="F4" s="20" t="s">
        <v>226</v>
      </c>
      <c r="G4" s="20" t="s">
        <v>227</v>
      </c>
      <c r="H4" s="20" t="s">
        <v>228</v>
      </c>
    </row>
    <row r="5" customFormat="false" ht="15" hidden="false" customHeight="true" outlineLevel="0" collapsed="false">
      <c r="A5" s="7" t="s">
        <v>229</v>
      </c>
      <c r="B5" s="16" t="n">
        <v>55000</v>
      </c>
      <c r="C5" s="12" t="n">
        <f aca="false">Assumptions!B19*(MIN(B5,Assumptions!B21)-Assumptions!B20)</f>
        <v>3064.25</v>
      </c>
      <c r="D5" s="12" t="n">
        <f aca="false">MIN(B5*Assumptions!B23,Assumptions!B25)</f>
        <v>1255.1</v>
      </c>
      <c r="E5" s="12" t="n">
        <f aca="false">B5*Assumptions!B26</f>
        <v>676.5</v>
      </c>
      <c r="F5" s="12" t="n">
        <f aca="false">B5*Assumptions!B27</f>
        <v>2200</v>
      </c>
      <c r="G5" s="11" t="n">
        <f aca="false">SUM(B5:F5)</f>
        <v>62195.85</v>
      </c>
      <c r="H5" s="12" t="n">
        <f aca="false">G5/12</f>
        <v>5182.9875</v>
      </c>
    </row>
    <row r="6" customFormat="false" ht="15" hidden="false" customHeight="true" outlineLevel="0" collapsed="false">
      <c r="A6" s="7" t="s">
        <v>230</v>
      </c>
      <c r="B6" s="16" t="n">
        <v>48000</v>
      </c>
      <c r="C6" s="12" t="n">
        <f aca="false">Assumptions!B19*(MIN(B6,Assumptions!B21)-Assumptions!B20)</f>
        <v>2647.75</v>
      </c>
      <c r="D6" s="12" t="n">
        <f aca="false">MIN(B6*Assumptions!B23,Assumptions!B25)</f>
        <v>1095.36</v>
      </c>
      <c r="E6" s="12" t="n">
        <f aca="false">B6*Assumptions!B26</f>
        <v>590.4</v>
      </c>
      <c r="F6" s="12" t="n">
        <f aca="false">B6*Assumptions!B27</f>
        <v>1920</v>
      </c>
      <c r="G6" s="11" t="n">
        <f aca="false">SUM(B6:F6)</f>
        <v>54253.51</v>
      </c>
      <c r="H6" s="12" t="n">
        <f aca="false">G6/12</f>
        <v>4521.12583333333</v>
      </c>
    </row>
    <row r="7" customFormat="false" ht="15" hidden="false" customHeight="true" outlineLevel="0" collapsed="false">
      <c r="A7" s="7" t="s">
        <v>231</v>
      </c>
      <c r="B7" s="16" t="n">
        <v>72000</v>
      </c>
      <c r="C7" s="12" t="n">
        <f aca="false">Assumptions!B19*(MIN(B7,Assumptions!B21)-Assumptions!B20)</f>
        <v>4075.75</v>
      </c>
      <c r="D7" s="12" t="n">
        <f aca="false">MIN(B7*Assumptions!B23,Assumptions!B25)</f>
        <v>1572.3</v>
      </c>
      <c r="E7" s="12" t="n">
        <f aca="false">B7*Assumptions!B26</f>
        <v>885.6</v>
      </c>
      <c r="F7" s="12" t="n">
        <f aca="false">B7*Assumptions!B27</f>
        <v>2880</v>
      </c>
      <c r="G7" s="11" t="n">
        <f aca="false">SUM(B7:F7)</f>
        <v>81413.65</v>
      </c>
      <c r="H7" s="12" t="n">
        <f aca="false">G7/12</f>
        <v>6784.47083333333</v>
      </c>
    </row>
    <row r="8" customFormat="false" ht="15" hidden="false" customHeight="true" outlineLevel="0" collapsed="false">
      <c r="A8" s="7" t="s">
        <v>232</v>
      </c>
      <c r="B8" s="16" t="n">
        <v>45000</v>
      </c>
      <c r="C8" s="12" t="n">
        <f aca="false">Assumptions!B19*(MIN(B8,Assumptions!B21)-Assumptions!B20)</f>
        <v>2469.25</v>
      </c>
      <c r="D8" s="12" t="n">
        <f aca="false">MIN(B8*Assumptions!B23,Assumptions!B25)</f>
        <v>1026.9</v>
      </c>
      <c r="E8" s="12" t="n">
        <f aca="false">B8*Assumptions!B26</f>
        <v>553.5</v>
      </c>
      <c r="F8" s="12" t="n">
        <f aca="false">B8*Assumptions!B27</f>
        <v>1800</v>
      </c>
      <c r="G8" s="11" t="n">
        <f aca="false">SUM(B8:F8)</f>
        <v>50849.65</v>
      </c>
      <c r="H8" s="12" t="n">
        <f aca="false">G8/12</f>
        <v>4237.47083333333</v>
      </c>
    </row>
    <row r="10" customFormat="false" ht="15" hidden="false" customHeight="true" outlineLevel="0" collapsed="false">
      <c r="A10" s="22" t="s">
        <v>233</v>
      </c>
      <c r="B10" s="23" t="n">
        <f aca="false">SUM(B5:B8)</f>
        <v>220000</v>
      </c>
      <c r="C10" s="23" t="n">
        <f aca="false">SUM(C5:C8)</f>
        <v>12257</v>
      </c>
      <c r="D10" s="23" t="n">
        <f aca="false">SUM(D5:D8)</f>
        <v>4949.66</v>
      </c>
      <c r="E10" s="23" t="n">
        <f aca="false">SUM(E5:E8)</f>
        <v>2706</v>
      </c>
      <c r="F10" s="23" t="n">
        <f aca="false">SUM(F5:F8)</f>
        <v>8800</v>
      </c>
      <c r="G10" s="23" t="n">
        <f aca="false">SUM(G5:G8)</f>
        <v>248712.66</v>
      </c>
      <c r="H10" s="23" t="n">
        <f aca="false">SUM(H5:H8)</f>
        <v>20726.055</v>
      </c>
    </row>
    <row r="12" customFormat="false" ht="15" hidden="false" customHeight="true" outlineLevel="0" collapsed="false">
      <c r="A12" s="5" t="s">
        <v>234</v>
      </c>
    </row>
    <row r="13" customFormat="false" ht="15" hidden="false" customHeight="true" outlineLevel="0" collapsed="false">
      <c r="A13" s="7" t="s">
        <v>235</v>
      </c>
      <c r="B13" s="12" t="n">
        <f aca="false">B10</f>
        <v>220000</v>
      </c>
    </row>
    <row r="14" customFormat="false" ht="15" hidden="false" customHeight="true" outlineLevel="0" collapsed="false">
      <c r="A14" s="7" t="s">
        <v>236</v>
      </c>
      <c r="B14" s="12" t="n">
        <f aca="false">G10-B10</f>
        <v>28712.66</v>
      </c>
    </row>
    <row r="15" customFormat="false" ht="15" hidden="false" customHeight="true" outlineLevel="0" collapsed="false">
      <c r="A15" s="10" t="s">
        <v>237</v>
      </c>
      <c r="B15" s="29" t="n">
        <f aca="false">B14/B13</f>
        <v>0.130512090909091</v>
      </c>
      <c r="D15" s="3" t="s">
        <v>238</v>
      </c>
    </row>
    <row r="17" customFormat="false" ht="15" hidden="false" customHeight="true" outlineLevel="0" collapsed="false">
      <c r="A17" s="27" t="s">
        <v>239</v>
      </c>
      <c r="B17" s="28" t="n">
        <f aca="false">G10/12</f>
        <v>20726.055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5CE7"/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240</v>
      </c>
    </row>
    <row r="2" customFormat="false" ht="15" hidden="false" customHeight="true" outlineLevel="0" collapsed="false">
      <c r="A2" s="4" t="s">
        <v>241</v>
      </c>
    </row>
    <row r="4" customFormat="false" ht="15" hidden="false" customHeight="true" outlineLevel="0" collapsed="false">
      <c r="A4" s="20" t="s">
        <v>181</v>
      </c>
      <c r="B4" s="20" t="s">
        <v>183</v>
      </c>
      <c r="C4" s="20" t="s">
        <v>242</v>
      </c>
      <c r="D4" s="20" t="s">
        <v>184</v>
      </c>
    </row>
    <row r="5" customFormat="false" ht="15" hidden="false" customHeight="true" outlineLevel="0" collapsed="false">
      <c r="A5" s="21" t="s">
        <v>243</v>
      </c>
      <c r="B5" s="21"/>
      <c r="C5" s="21"/>
      <c r="D5" s="21"/>
    </row>
    <row r="6" customFormat="false" ht="15" hidden="false" customHeight="true" outlineLevel="0" collapsed="false">
      <c r="A6" s="10" t="s">
        <v>244</v>
      </c>
      <c r="B6" s="11" t="n">
        <f aca="false">'Startup Capital'!D74</f>
        <v>278681</v>
      </c>
      <c r="C6" s="12" t="n">
        <f aca="false">B6/12</f>
        <v>23223.4166666667</v>
      </c>
      <c r="D6" s="3" t="s">
        <v>245</v>
      </c>
    </row>
    <row r="8" customFormat="false" ht="15" hidden="false" customHeight="true" outlineLevel="0" collapsed="false">
      <c r="A8" s="21" t="s">
        <v>246</v>
      </c>
      <c r="B8" s="21"/>
      <c r="C8" s="21"/>
      <c r="D8" s="21"/>
    </row>
    <row r="9" customFormat="false" ht="15" hidden="false" customHeight="true" outlineLevel="0" collapsed="false">
      <c r="A9" s="7" t="s">
        <v>247</v>
      </c>
      <c r="B9" s="12" t="n">
        <f aca="false">'Monthly Operating'!C11</f>
        <v>45996.9</v>
      </c>
      <c r="C9" s="12" t="n">
        <f aca="false">B9/12</f>
        <v>3833.075</v>
      </c>
    </row>
    <row r="10" customFormat="false" ht="15" hidden="false" customHeight="true" outlineLevel="0" collapsed="false">
      <c r="A10" s="7" t="s">
        <v>248</v>
      </c>
      <c r="B10" s="12" t="n">
        <f aca="false">'Monthly Operating'!C16</f>
        <v>20500</v>
      </c>
      <c r="C10" s="12" t="n">
        <f aca="false">B10/12</f>
        <v>1708.33333333333</v>
      </c>
    </row>
    <row r="11" customFormat="false" ht="15" hidden="false" customHeight="true" outlineLevel="0" collapsed="false">
      <c r="A11" s="7" t="s">
        <v>249</v>
      </c>
      <c r="B11" s="12" t="n">
        <f aca="false">'Monthly Operating'!C22</f>
        <v>12000</v>
      </c>
      <c r="C11" s="12" t="n">
        <f aca="false">B11/12</f>
        <v>1000</v>
      </c>
    </row>
    <row r="12" customFormat="false" ht="15" hidden="false" customHeight="true" outlineLevel="0" collapsed="false">
      <c r="A12" s="7" t="s">
        <v>250</v>
      </c>
      <c r="B12" s="12" t="n">
        <f aca="false">'Monthly Operating'!C31</f>
        <v>21840</v>
      </c>
      <c r="C12" s="12" t="n">
        <f aca="false">B12/12</f>
        <v>1820</v>
      </c>
    </row>
    <row r="13" customFormat="false" ht="15" hidden="false" customHeight="true" outlineLevel="0" collapsed="false">
      <c r="A13" s="7" t="s">
        <v>251</v>
      </c>
      <c r="B13" s="12" t="n">
        <f aca="false">Payroll!G10</f>
        <v>248712.66</v>
      </c>
      <c r="C13" s="12" t="n">
        <f aca="false">B13/12</f>
        <v>20726.055</v>
      </c>
      <c r="D13" s="3" t="s">
        <v>252</v>
      </c>
    </row>
    <row r="14" customFormat="false" ht="15" hidden="false" customHeight="true" outlineLevel="0" collapsed="false">
      <c r="A14" s="22" t="s">
        <v>253</v>
      </c>
      <c r="B14" s="23" t="n">
        <f aca="false">SUM(B8:B13)</f>
        <v>349049.56</v>
      </c>
      <c r="C14" s="23" t="n">
        <f aca="false">B14/12</f>
        <v>29087.4633333333</v>
      </c>
      <c r="D14" s="22"/>
    </row>
    <row r="16" customFormat="false" ht="17.25" hidden="false" customHeight="true" outlineLevel="0" collapsed="false">
      <c r="A16" s="30" t="s">
        <v>254</v>
      </c>
      <c r="B16" s="31" t="n">
        <f aca="false">B6+B14</f>
        <v>627730.56</v>
      </c>
    </row>
    <row r="18" customFormat="false" ht="15" hidden="false" customHeight="true" outlineLevel="0" collapsed="false">
      <c r="A18" s="10" t="s">
        <v>255</v>
      </c>
      <c r="B18" s="11" t="n">
        <f aca="false">C14</f>
        <v>29087.4633333333</v>
      </c>
      <c r="D18" s="3" t="s">
        <v>256</v>
      </c>
    </row>
    <row r="19" customFormat="false" ht="15" hidden="false" customHeight="true" outlineLevel="0" collapsed="false">
      <c r="A19" s="10" t="s">
        <v>257</v>
      </c>
      <c r="B19" s="32" t="n">
        <f aca="false">45000/C14</f>
        <v>1.54705824582618</v>
      </c>
      <c r="D19" s="3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2026-02-15T14:26:36Z</dcterms:created>
  <dc:creator>openpyxl</dc:creator>
  <dc:description/>
  <dc:language>en-US</dc:language>
  <cp:lastModifiedBy/>
  <dcterms:modified xsi:type="dcterms:W3CDTF">2026-02-15T14:26:58Z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